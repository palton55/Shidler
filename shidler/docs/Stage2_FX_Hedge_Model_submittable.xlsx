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Hedge Model" sheetId="1" state="visible" r:id="rId1"/>
  </sheets>
  <definedNames>
    <definedName name="FC_AMT">'FX Hedge Model'!$B$2</definedName>
    <definedName name="S0_in">'FX Hedge Model'!$B$3</definedName>
    <definedName name="F0_in">'FX Hedge Model'!$B$4</definedName>
    <definedName name="R_USD">'FX Hedge Model'!$B$5</definedName>
    <definedName name="R_FC">'FX Hedge Model'!$B$6</definedName>
    <definedName name="T_DAYS">'FX Hedge Model'!$B$7</definedName>
    <definedName name="K_PUT">'FX Hedge Model'!$B$8</definedName>
    <definedName name="PREM_PUT">'FX Hedge Model'!$B$9</definedName>
    <definedName name="K_CALL">'FX Hedge Model'!$B$10</definedName>
    <definedName name="PREM_CALL">'FX Hedge Model'!$B$11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4B3"/>
      </patternFill>
    </fill>
    <fill>
      <patternFill patternType="solid">
        <fgColor rgb="00CFE2F3"/>
      </patternFill>
    </fill>
    <fill>
      <patternFill patternType="solid">
        <fgColor rgb="00D0CECE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horizontal="left"/>
    </xf>
    <xf numFmtId="1" fontId="0" fillId="2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164" fontId="0" fillId="2" borderId="1" applyAlignment="1" pivotButton="0" quotePrefix="0" xfId="0">
      <alignment horizontal="right"/>
    </xf>
    <xf numFmtId="10" fontId="0" fillId="2" borderId="1" applyAlignment="1" pivotButton="0" quotePrefix="0" xfId="0">
      <alignment horizontal="right"/>
    </xf>
    <xf numFmtId="0" fontId="1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0" fontId="1" fillId="3" borderId="1" applyAlignment="1" pivotButton="0" quotePrefix="0" xfId="0">
      <alignment horizontal="left"/>
    </xf>
    <xf numFmtId="3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Proceeds vs Ending Spot</a:t>
            </a:r>
          </a:p>
        </rich>
      </tx>
    </title>
    <plotArea>
      <lineChart>
        <grouping val="standard"/>
        <ser>
          <idx val="0"/>
          <order val="0"/>
          <tx>
            <strRef>
              <f>'FX Hedge Model'!B23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Hedge Model'!$A$24:$A$33</f>
            </numRef>
          </cat>
          <val>
            <numRef>
              <f>'FX Hedge Model'!$B$24:$B$33</f>
            </numRef>
          </val>
        </ser>
        <ser>
          <idx val="1"/>
          <order val="1"/>
          <tx>
            <strRef>
              <f>'FX Hedge Model'!C23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Hedge Model'!$A$24:$A$33</f>
            </numRef>
          </cat>
          <val>
            <numRef>
              <f>'FX Hedge Model'!$C$24:$C$33</f>
            </numRef>
          </val>
        </ser>
        <ser>
          <idx val="2"/>
          <order val="2"/>
          <tx>
            <strRef>
              <f>'FX Hedge Model'!D23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Hedge Model'!$A$24:$A$33</f>
            </numRef>
          </cat>
          <val>
            <numRef>
              <f>'FX Hedge Model'!$D$24:$D$33</f>
            </numRef>
          </val>
        </ser>
        <ser>
          <idx val="3"/>
          <order val="3"/>
          <tx>
            <strRef>
              <f>'FX Hedge Model'!E23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Hedge Model'!$A$24:$A$33</f>
            </numRef>
          </cat>
          <val>
            <numRef>
              <f>'FX Hedge Model'!$E$24:$E$33</f>
            </numRef>
          </val>
        </ser>
        <ser>
          <idx val="4"/>
          <order val="4"/>
          <tx>
            <strRef>
              <f>'FX Hedge Model'!F23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Hedge Model'!$A$24:$A$33</f>
            </numRef>
          </cat>
          <val>
            <numRef>
              <f>'FX Hedge Model'!$F$24:$F$33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Ending Spot (USD/FC)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Proceeds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Inputs</t>
        </is>
      </c>
      <c r="B1" s="2" t="n"/>
      <c r="C1" s="3" t="n"/>
    </row>
    <row r="2">
      <c r="A2" s="4" t="inlineStr">
        <is>
          <t>FC amount</t>
        </is>
      </c>
      <c r="B2" s="5" t="n">
        <v>8000000</v>
      </c>
      <c r="C2" s="6" t="inlineStr">
        <is>
          <t>FC_AMT</t>
        </is>
      </c>
    </row>
    <row r="3">
      <c r="A3" s="4" t="inlineStr">
        <is>
          <t>Spot rate S0 (USD/FC)</t>
        </is>
      </c>
      <c r="B3" s="7" t="n">
        <v>1.1685</v>
      </c>
      <c r="C3" s="6" t="inlineStr">
        <is>
          <t>S0_in</t>
        </is>
      </c>
    </row>
    <row r="4">
      <c r="A4" s="4" t="inlineStr">
        <is>
          <t>Forward rate F0 (USD/FC)</t>
        </is>
      </c>
      <c r="B4" s="7" t="n">
        <v>1.089</v>
      </c>
      <c r="C4" s="6" t="inlineStr">
        <is>
          <t>F0_in</t>
        </is>
      </c>
    </row>
    <row r="5">
      <c r="A5" s="4" t="inlineStr">
        <is>
          <t>USD rate r_USD (annual)</t>
        </is>
      </c>
      <c r="B5" s="8" t="n">
        <v>0.0369</v>
      </c>
      <c r="C5" s="6" t="inlineStr">
        <is>
          <t>R_USD</t>
        </is>
      </c>
    </row>
    <row r="6">
      <c r="A6" s="4" t="inlineStr">
        <is>
          <t>FC rate r_FC (annual)</t>
        </is>
      </c>
      <c r="B6" s="8" t="n">
        <v>0.0263</v>
      </c>
      <c r="C6" s="6" t="inlineStr">
        <is>
          <t>R_FC</t>
        </is>
      </c>
    </row>
    <row r="7">
      <c r="A7" s="4" t="inlineStr">
        <is>
          <t>Time horizon (days)</t>
        </is>
      </c>
      <c r="B7" s="5" t="n">
        <v>360</v>
      </c>
      <c r="C7" s="6" t="inlineStr">
        <is>
          <t>T_DAYS</t>
        </is>
      </c>
    </row>
    <row r="8">
      <c r="A8" s="4" t="inlineStr">
        <is>
          <t>Put strike K_put</t>
        </is>
      </c>
      <c r="B8" s="7" t="n">
        <v>1.08</v>
      </c>
      <c r="C8" s="6" t="inlineStr">
        <is>
          <t>K_PUT</t>
        </is>
      </c>
    </row>
    <row r="9">
      <c r="A9" s="4" t="inlineStr">
        <is>
          <t>Put premium (USD/FC)</t>
        </is>
      </c>
      <c r="B9" s="7" t="n">
        <v>0.02</v>
      </c>
      <c r="C9" s="6" t="inlineStr">
        <is>
          <t>PREM_PUT</t>
        </is>
      </c>
    </row>
    <row r="10">
      <c r="A10" s="4" t="inlineStr">
        <is>
          <t>Call strike K_call</t>
        </is>
      </c>
      <c r="B10" s="7" t="n">
        <v>1.1</v>
      </c>
      <c r="C10" s="6" t="inlineStr">
        <is>
          <t>K_CALL</t>
        </is>
      </c>
    </row>
    <row r="11">
      <c r="A11" s="4" t="inlineStr">
        <is>
          <t>Call premium (USD/FC)</t>
        </is>
      </c>
      <c r="B11" s="7" t="n">
        <v>0.01</v>
      </c>
      <c r="C11" s="6" t="inlineStr">
        <is>
          <t>PREM_CALL</t>
        </is>
      </c>
    </row>
    <row r="12"/>
    <row r="13">
      <c r="A13" s="4" t="inlineStr">
        <is>
          <t>Assumption: 30/360 day count for interest; premium quoted in USD per FC</t>
        </is>
      </c>
      <c r="B13" s="2" t="n"/>
      <c r="C13" s="2" t="n"/>
      <c r="D13" s="3" t="n"/>
    </row>
    <row r="14"/>
    <row r="15">
      <c r="A15" s="9" t="inlineStr">
        <is>
          <t>Summary Outputs (base ST = S0)</t>
        </is>
      </c>
      <c r="B15" s="2" t="n"/>
      <c r="C15" s="2" t="n"/>
      <c r="D15" s="3" t="n"/>
    </row>
    <row r="16">
      <c r="A16" s="4" t="inlineStr">
        <is>
          <t>Forward hedge USD proceeds</t>
        </is>
      </c>
      <c r="B16" s="10">
        <f>FC_AMT*F0_in</f>
        <v/>
      </c>
    </row>
    <row r="17">
      <c r="A17" s="4" t="inlineStr">
        <is>
          <t>MM hedge USD proceeds</t>
        </is>
      </c>
      <c r="B17" s="10">
        <f>FC_AMT*S0_in*(1+R_USD*(T_DAYS/360))/(1+R_FC*(T_DAYS/360))</f>
        <v/>
      </c>
    </row>
    <row r="18">
      <c r="A18" s="4" t="inlineStr">
        <is>
          <t>Put hedge USD proceeds</t>
        </is>
      </c>
      <c r="B18" s="10">
        <f>FC_AMT*MAX(S0_in,K_PUT) - FC_AMT*PREM_PUT</f>
        <v/>
      </c>
    </row>
    <row r="19">
      <c r="A19" s="4" t="inlineStr">
        <is>
          <t>Covered call hedge USD proceeds</t>
        </is>
      </c>
      <c r="B19" s="10">
        <f>FC_AMT*MIN(S0_in,K_CALL) + FC_AMT*PREM_CALL</f>
        <v/>
      </c>
    </row>
    <row r="20">
      <c r="A20" s="4" t="inlineStr">
        <is>
          <t>Recommendation</t>
        </is>
      </c>
      <c r="B20" s="6" t="inlineStr">
        <is>
          <t>TBD (Stage 4)</t>
        </is>
      </c>
    </row>
    <row r="21"/>
    <row r="22">
      <c r="A22" s="9" t="inlineStr">
        <is>
          <t>Sensitivity: USD proceeds across hedges</t>
        </is>
      </c>
      <c r="B22" s="2" t="n"/>
      <c r="C22" s="2" t="n"/>
      <c r="D22" s="2" t="n"/>
      <c r="E22" s="2" t="n"/>
      <c r="F22" s="3" t="n"/>
    </row>
    <row r="23">
      <c r="A23" s="11" t="inlineStr">
        <is>
          <t>S_T</t>
        </is>
      </c>
      <c r="B23" s="11" t="inlineStr">
        <is>
          <t>No hedge</t>
        </is>
      </c>
      <c r="C23" s="11" t="inlineStr">
        <is>
          <t>Forward</t>
        </is>
      </c>
      <c r="D23" s="11" t="inlineStr">
        <is>
          <t>MM</t>
        </is>
      </c>
      <c r="E23" s="11" t="inlineStr">
        <is>
          <t>Put</t>
        </is>
      </c>
      <c r="F23" s="11" t="inlineStr">
        <is>
          <t>Covered call</t>
        </is>
      </c>
    </row>
    <row r="24">
      <c r="A24" s="7">
        <f>S0_in*0.95*(1+0.01*0)</f>
        <v/>
      </c>
      <c r="B24" s="12">
        <f>FC_AMT*$A24</f>
        <v/>
      </c>
      <c r="C24" s="12">
        <f>FC_AMT*F0_in</f>
        <v/>
      </c>
      <c r="D24" s="12">
        <f>FC_AMT*S0_in*(1+R_USD*(T_DAYS/360))/(1+R_FC*(T_DAYS/360))</f>
        <v/>
      </c>
      <c r="E24" s="12">
        <f>FC_AMT*MAX($A24,K_PUT) - FC_AMT*PREM_PUT</f>
        <v/>
      </c>
      <c r="F24" s="12">
        <f>FC_AMT*MIN($A24,K_CALL) + FC_AMT*PREM_CALL</f>
        <v/>
      </c>
    </row>
    <row r="25">
      <c r="A25" s="7">
        <f>S0_in*0.95*(1+0.01*1)</f>
        <v/>
      </c>
      <c r="B25" s="12">
        <f>FC_AMT*$A25</f>
        <v/>
      </c>
      <c r="C25" s="12">
        <f>FC_AMT*F0_in</f>
        <v/>
      </c>
      <c r="D25" s="12">
        <f>FC_AMT*S0_in*(1+R_USD*(T_DAYS/360))/(1+R_FC*(T_DAYS/360))</f>
        <v/>
      </c>
      <c r="E25" s="12">
        <f>FC_AMT*MAX($A25,K_PUT) - FC_AMT*PREM_PUT</f>
        <v/>
      </c>
      <c r="F25" s="12">
        <f>FC_AMT*MIN($A25,K_CALL) + FC_AMT*PREM_CALL</f>
        <v/>
      </c>
    </row>
    <row r="26">
      <c r="A26" s="7">
        <f>S0_in*0.95*(1+0.01*2)</f>
        <v/>
      </c>
      <c r="B26" s="12">
        <f>FC_AMT*$A26</f>
        <v/>
      </c>
      <c r="C26" s="12">
        <f>FC_AMT*F0_in</f>
        <v/>
      </c>
      <c r="D26" s="12">
        <f>FC_AMT*S0_in*(1+R_USD*(T_DAYS/360))/(1+R_FC*(T_DAYS/360))</f>
        <v/>
      </c>
      <c r="E26" s="12">
        <f>FC_AMT*MAX($A26,K_PUT) - FC_AMT*PREM_PUT</f>
        <v/>
      </c>
      <c r="F26" s="12">
        <f>FC_AMT*MIN($A26,K_CALL) + FC_AMT*PREM_CALL</f>
        <v/>
      </c>
    </row>
    <row r="27">
      <c r="A27" s="7">
        <f>S0_in*0.95*(1+0.01*3)</f>
        <v/>
      </c>
      <c r="B27" s="12">
        <f>FC_AMT*$A27</f>
        <v/>
      </c>
      <c r="C27" s="12">
        <f>FC_AMT*F0_in</f>
        <v/>
      </c>
      <c r="D27" s="12">
        <f>FC_AMT*S0_in*(1+R_USD*(T_DAYS/360))/(1+R_FC*(T_DAYS/360))</f>
        <v/>
      </c>
      <c r="E27" s="12">
        <f>FC_AMT*MAX($A27,K_PUT) - FC_AMT*PREM_PUT</f>
        <v/>
      </c>
      <c r="F27" s="12">
        <f>FC_AMT*MIN($A27,K_CALL) + FC_AMT*PREM_CALL</f>
        <v/>
      </c>
    </row>
    <row r="28">
      <c r="A28" s="7">
        <f>S0_in*0.95*(1+0.01*4)</f>
        <v/>
      </c>
      <c r="B28" s="12">
        <f>FC_AMT*$A28</f>
        <v/>
      </c>
      <c r="C28" s="12">
        <f>FC_AMT*F0_in</f>
        <v/>
      </c>
      <c r="D28" s="12">
        <f>FC_AMT*S0_in*(1+R_USD*(T_DAYS/360))/(1+R_FC*(T_DAYS/360))</f>
        <v/>
      </c>
      <c r="E28" s="12">
        <f>FC_AMT*MAX($A28,K_PUT) - FC_AMT*PREM_PUT</f>
        <v/>
      </c>
      <c r="F28" s="12">
        <f>FC_AMT*MIN($A28,K_CALL) + FC_AMT*PREM_CALL</f>
        <v/>
      </c>
    </row>
    <row r="29">
      <c r="A29" s="7">
        <f>S0_in*0.95*(1+0.01*5)</f>
        <v/>
      </c>
      <c r="B29" s="12">
        <f>FC_AMT*$A29</f>
        <v/>
      </c>
      <c r="C29" s="12">
        <f>FC_AMT*F0_in</f>
        <v/>
      </c>
      <c r="D29" s="12">
        <f>FC_AMT*S0_in*(1+R_USD*(T_DAYS/360))/(1+R_FC*(T_DAYS/360))</f>
        <v/>
      </c>
      <c r="E29" s="12">
        <f>FC_AMT*MAX($A29,K_PUT) - FC_AMT*PREM_PUT</f>
        <v/>
      </c>
      <c r="F29" s="12">
        <f>FC_AMT*MIN($A29,K_CALL) + FC_AMT*PREM_CALL</f>
        <v/>
      </c>
    </row>
    <row r="30">
      <c r="A30" s="7">
        <f>S0_in*0.95*(1+0.01*6)</f>
        <v/>
      </c>
      <c r="B30" s="12">
        <f>FC_AMT*$A30</f>
        <v/>
      </c>
      <c r="C30" s="12">
        <f>FC_AMT*F0_in</f>
        <v/>
      </c>
      <c r="D30" s="12">
        <f>FC_AMT*S0_in*(1+R_USD*(T_DAYS/360))/(1+R_FC*(T_DAYS/360))</f>
        <v/>
      </c>
      <c r="E30" s="12">
        <f>FC_AMT*MAX($A30,K_PUT) - FC_AMT*PREM_PUT</f>
        <v/>
      </c>
      <c r="F30" s="12">
        <f>FC_AMT*MIN($A30,K_CALL) + FC_AMT*PREM_CALL</f>
        <v/>
      </c>
    </row>
    <row r="31">
      <c r="A31" s="7">
        <f>S0_in*0.95*(1+0.01*7)</f>
        <v/>
      </c>
      <c r="B31" s="12">
        <f>FC_AMT*$A31</f>
        <v/>
      </c>
      <c r="C31" s="12">
        <f>FC_AMT*F0_in</f>
        <v/>
      </c>
      <c r="D31" s="12">
        <f>FC_AMT*S0_in*(1+R_USD*(T_DAYS/360))/(1+R_FC*(T_DAYS/360))</f>
        <v/>
      </c>
      <c r="E31" s="12">
        <f>FC_AMT*MAX($A31,K_PUT) - FC_AMT*PREM_PUT</f>
        <v/>
      </c>
      <c r="F31" s="12">
        <f>FC_AMT*MIN($A31,K_CALL) + FC_AMT*PREM_CALL</f>
        <v/>
      </c>
    </row>
    <row r="32">
      <c r="A32" s="7">
        <f>S0_in*0.95*(1+0.01*8)</f>
        <v/>
      </c>
      <c r="B32" s="12">
        <f>FC_AMT*$A32</f>
        <v/>
      </c>
      <c r="C32" s="12">
        <f>FC_AMT*F0_in</f>
        <v/>
      </c>
      <c r="D32" s="12">
        <f>FC_AMT*S0_in*(1+R_USD*(T_DAYS/360))/(1+R_FC*(T_DAYS/360))</f>
        <v/>
      </c>
      <c r="E32" s="12">
        <f>FC_AMT*MAX($A32,K_PUT) - FC_AMT*PREM_PUT</f>
        <v/>
      </c>
      <c r="F32" s="12">
        <f>FC_AMT*MIN($A32,K_CALL) + FC_AMT*PREM_CALL</f>
        <v/>
      </c>
    </row>
    <row r="33">
      <c r="A33" s="7">
        <f>S0_in*0.95*(1+0.01*9)</f>
        <v/>
      </c>
      <c r="B33" s="12">
        <f>FC_AMT*$A33</f>
        <v/>
      </c>
      <c r="C33" s="12">
        <f>FC_AMT*F0_in</f>
        <v/>
      </c>
      <c r="D33" s="12">
        <f>FC_AMT*S0_in*(1+R_USD*(T_DAYS/360))/(1+R_FC*(T_DAYS/360))</f>
        <v/>
      </c>
      <c r="E33" s="12">
        <f>FC_AMT*MAX($A33,K_PUT) - FC_AMT*PREM_PUT</f>
        <v/>
      </c>
      <c r="F33" s="12">
        <f>FC_AMT*MIN($A33,K_CALL) + FC_AMT*PREM_CALL</f>
        <v/>
      </c>
    </row>
    <row r="34">
      <c r="A34" s="7">
        <f>S0_in*0.95*(1+0.01*10)</f>
        <v/>
      </c>
      <c r="B34" s="12">
        <f>FC_AMT*$A34</f>
        <v/>
      </c>
      <c r="C34" s="12">
        <f>FC_AMT*F0_in</f>
        <v/>
      </c>
      <c r="D34" s="12">
        <f>FC_AMT*S0_in*(1+R_USD*(T_DAYS/360))/(1+R_FC*(T_DAYS/360))</f>
        <v/>
      </c>
      <c r="E34" s="12">
        <f>FC_AMT*MAX($A34,K_PUT) - FC_AMT*PREM_PUT</f>
        <v/>
      </c>
      <c r="F34" s="12">
        <f>FC_AMT*MIN($A34,K_CALL) + FC_AMT*PREM_CALL</f>
        <v/>
      </c>
    </row>
  </sheetData>
  <mergeCells count="4">
    <mergeCell ref="A1:C1"/>
    <mergeCell ref="A13:D13"/>
    <mergeCell ref="A15:D15"/>
    <mergeCell ref="A22:F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2026-04-09T22:23:54Z</dcterms:created>
  <dcterms:modified xmlns:dcterms="http://purl.org/dc/terms/" xmlns:xsi="http://www.w3.org/2001/XMLSchema-instance" xsi:type="dcterms:W3CDTF">2026-04-09T22:23:54Z</dcterms:modified>
</cp:coreProperties>
</file>